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est Cases" sheetId="2" r:id="rId5"/>
    <sheet state="visible" name="Read Me" sheetId="3" r:id="rId6"/>
    <sheet state="visible" name="Bug Report Template" sheetId="4" r:id="rId7"/>
  </sheets>
  <definedNames>
    <definedName hidden="1" localSheetId="1" name="_xlnm._FilterDatabase">'Test Cases'!$A$1:$L$52</definedName>
    <definedName hidden="1" localSheetId="3" name="_xlnm._FilterDatabase">'Bug Report Template'!$A$1:$B$13</definedName>
    <definedName hidden="1" localSheetId="1" name="Z_6D3249C1_C12B_44A7_BD35_82E05CB53ABD_.wvu.FilterData">'Test Cases'!$A$1:$L$52</definedName>
  </definedNames>
  <calcPr/>
  <customWorkbookViews>
    <customWorkbookView activeSheetId="0" maximized="1" windowHeight="0" windowWidth="0" guid="{6D3249C1-C12B-44A7-BD35-82E05CB53ABD}" name="TestCasesTable filter view"/>
  </customWorkbookViews>
  <extLst>
    <ext uri="GoogleSheetsCustomDataVersion2">
      <go:sheetsCustomData xmlns:go="http://customooxmlschemas.google.com/" r:id="rId8" roundtripDataChecksum="cwS55lVd5vSxNyffTTAb1t38ZGRP+DcX1oh9bldII5k="/>
    </ext>
  </extLst>
</workbook>
</file>

<file path=xl/sharedStrings.xml><?xml version="1.0" encoding="utf-8"?>
<sst xmlns="http://schemas.openxmlformats.org/spreadsheetml/2006/main" count="651" uniqueCount="353">
  <si>
    <t>SauceDemo Test Case Document</t>
  </si>
  <si>
    <t>SauceDemo Test Execution Summary</t>
  </si>
  <si>
    <t>Field</t>
  </si>
  <si>
    <t>Description / Entry</t>
  </si>
  <si>
    <t>Bug ID</t>
  </si>
  <si>
    <t>Metric</t>
  </si>
  <si>
    <t>Purpose</t>
  </si>
  <si>
    <t>e.g., BUG-001 (assign only when a real defect is logged)</t>
  </si>
  <si>
    <t>Portfolio-ready test case inventory for the SauceDemo UI automation project. It lists the 51 test functions currently present in the project.</t>
  </si>
  <si>
    <t>Title</t>
  </si>
  <si>
    <t>Short, specific summary of the defect</t>
  </si>
  <si>
    <t>Environment</t>
  </si>
  <si>
    <t>Browser / OS / app version / test environment</t>
  </si>
  <si>
    <t>Preconditions</t>
  </si>
  <si>
    <t>State required before reproducing</t>
  </si>
  <si>
    <t>Steps to Reproduce</t>
  </si>
  <si>
    <t>Value</t>
  </si>
  <si>
    <t>Numbered steps to reproduce the issue</t>
  </si>
  <si>
    <t>Expected Result</t>
  </si>
  <si>
    <t>Notes</t>
  </si>
  <si>
    <t>What should happen</t>
  </si>
  <si>
    <t>Actual Result</t>
  </si>
  <si>
    <t>What actually happened</t>
  </si>
  <si>
    <t>Total test cases</t>
  </si>
  <si>
    <t>Severity</t>
  </si>
  <si>
    <t>Critical / High / Medium / Low</t>
  </si>
  <si>
    <t>Priority</t>
  </si>
  <si>
    <t>High / Medium / Low</t>
  </si>
  <si>
    <t>Evidence</t>
  </si>
  <si>
    <t>Screenshot path or report link</t>
  </si>
  <si>
    <t>Status</t>
  </si>
  <si>
    <t>New / Open / In Progress / Fixed / Retest / Closed</t>
  </si>
  <si>
    <t>Important note</t>
  </si>
  <si>
    <t>Additional context; clearly mark simulated examples</t>
  </si>
  <si>
    <t>The 51 cases were collected from the current test names shared in the project context. Preconditions, steps, test data, and expected results are drafted from the test names and common SauceDemo workflows; review them against the actual test code before presenting as final approved test documentation.</t>
  </si>
  <si>
    <t>Execution status</t>
  </si>
  <si>
    <t>The latest local regression run reported 51 passed. The Actual Result and Execution Status columns are prefilled to reflect that run at a summary level. Re-run the tests and update these columns when you execute a new test cycle.</t>
  </si>
  <si>
    <t>How to use in Google Sheets</t>
  </si>
  <si>
    <t>Upload this .xlsx file to Google Drive, then choose Open with Google Sheets. You can edit the workbook there. Dropdowns and basic formatting should import with the spreadsheet.</t>
  </si>
  <si>
    <t>How to update results</t>
  </si>
  <si>
    <t>After a test run, update Actual Result and Execution Status for the relevant cases. Use Pass, Fail, Blocked, Not Run, or Not Applicable in Execution Status.</t>
  </si>
  <si>
    <t>Test Case ID convention</t>
  </si>
  <si>
    <t>TC_LOGIN_###, TC_PRODUCT_###, TC_CART_###, TC_CHECKOUT_###, and TC_MENU_### identify module and case number.</t>
  </si>
  <si>
    <t>Status meanings</t>
  </si>
  <si>
    <t>Pass = actual result meets expected result. Fail = actual result differs from expected result. Blocked = test cannot run due to a blocker. Not Run = not executed in this cycle. Not Applicable = excluded with a reason.</t>
  </si>
  <si>
    <t>Priority meanings</t>
  </si>
  <si>
    <t>High = important user flow or major validation. Medium = meaningful functional coverage. Low = lower-impact or navigation coverage. Priority is a suggested draft and can be adjusted based on project criteria.</t>
  </si>
  <si>
    <t>Automation Status</t>
  </si>
  <si>
    <t>Automated means an automated test script exists for this scenario in the current project. This column is based on the current test module names and should be checked against implementation details.</t>
  </si>
  <si>
    <t>Evidence / Notes</t>
  </si>
  <si>
    <t>Add a screenshot path, report link, bug ID, or short note when useful. Avoid storing passwords or other secrets in the document.</t>
  </si>
  <si>
    <t>Test modules</t>
  </si>
  <si>
    <t>Login: 9 | Products: 18 | Cart: 5 | Checkout: 14 | Menu: 5 | Total: 51</t>
  </si>
  <si>
    <t>Naming convention</t>
  </si>
  <si>
    <t>Positive scenarios use “Able to…”, negative scenarios use “Unable to…”, and checks of displayed data or state use “Verify that…”. Review each scenario against the actual automated test code before treating this workbook as approved test documentation.</t>
  </si>
  <si>
    <t>Test cases listed in this workbook</t>
  </si>
  <si>
    <t>Pass</t>
  </si>
  <si>
    <t>Execution Status values starting with Pass</t>
  </si>
  <si>
    <t>Fail</t>
  </si>
  <si>
    <t>Execution Status values starting with Fail</t>
  </si>
  <si>
    <t>Not Run</t>
  </si>
  <si>
    <t>Cases not executed in the current cycle</t>
  </si>
  <si>
    <t>Automated</t>
  </si>
  <si>
    <t>Cases marked as automated</t>
  </si>
  <si>
    <t>Module</t>
  </si>
  <si>
    <t>Test Case Count</t>
  </si>
  <si>
    <t>Case ID Prefix</t>
  </si>
  <si>
    <t>Login</t>
  </si>
  <si>
    <t>TC_LOGIN_</t>
  </si>
  <si>
    <t>Products</t>
  </si>
  <si>
    <t>TC_PRODUCT_</t>
  </si>
  <si>
    <t>Cart</t>
  </si>
  <si>
    <t>TC_CART_</t>
  </si>
  <si>
    <t>Checkout</t>
  </si>
  <si>
    <t>TC_CHECKOUT_</t>
  </si>
  <si>
    <t>Menu</t>
  </si>
  <si>
    <t>TC_MENU_</t>
  </si>
  <si>
    <t>Test Case ID</t>
  </si>
  <si>
    <t>Test Scenario</t>
  </si>
  <si>
    <t>Test Steps</t>
  </si>
  <si>
    <t>Test Data</t>
  </si>
  <si>
    <t>Execution Status</t>
  </si>
  <si>
    <t>TC_LOGIN_001</t>
  </si>
  <si>
    <t>Able to log in successfully when user enters valid credentials.</t>
  </si>
  <si>
    <t>User is on the SauceDemo login page.</t>
  </si>
  <si>
    <t>1. Enter a valid username.
2. Enter a valid password.
3. Click Login.</t>
  </si>
  <si>
    <t>Username: standard_user
Password: secret_sauce</t>
  </si>
  <si>
    <t>User is authenticated and redirected to the Products page.</t>
  </si>
  <si>
    <t>Matched expected result (automated assertion passed in latest 51-test regression run)</t>
  </si>
  <si>
    <t>Pass (latest local run: 51 passed)</t>
  </si>
  <si>
    <t>High</t>
  </si>
  <si>
    <t>TC_LOGIN_002</t>
  </si>
  <si>
    <t>Unable to log in when user enters an invalid username.</t>
  </si>
  <si>
    <t>User is on the login page.</t>
  </si>
  <si>
    <t>1. Enter an invalid username.
2. Enter a valid password.
3. Click Login.</t>
  </si>
  <si>
    <t>Username: invalid_user
Password: secret_sauce</t>
  </si>
  <si>
    <t>Login is rejected and an error message is displayed.</t>
  </si>
  <si>
    <t>TC_LOGIN_003</t>
  </si>
  <si>
    <t>Unable to log in when user enters an invalid password.</t>
  </si>
  <si>
    <t>1. Enter a valid username.
2. Enter an invalid password.
3. Click Login.</t>
  </si>
  <si>
    <t>Username: standard_user
Password: invalid_password</t>
  </si>
  <si>
    <t>TC_LOGIN_004</t>
  </si>
  <si>
    <t>Unable to log in when user enters an invalid username and password.</t>
  </si>
  <si>
    <t>1. Enter an invalid username.
2. Enter an invalid password.
3. Click Login.</t>
  </si>
  <si>
    <t>Username: invalid_user
Password: invalid_password</t>
  </si>
  <si>
    <t>TC_LOGIN_005</t>
  </si>
  <si>
    <t>Unable to log in when user leaves the username field empty.</t>
  </si>
  <si>
    <t>1. Leave the username field empty.
2. Enter a valid password.
3. Click Login.</t>
  </si>
  <si>
    <t>Username: blank
Password: secret_sauce</t>
  </si>
  <si>
    <t>Login is blocked and a validation error indicates the username is required.</t>
  </si>
  <si>
    <t>TC_LOGIN_006</t>
  </si>
  <si>
    <t>Unable to log in when user leaves the password field empty.</t>
  </si>
  <si>
    <t>1. Enter a valid username.
2. Leave the password field empty.
3. Click Login.</t>
  </si>
  <si>
    <t>Username: standard_user
Password: blank</t>
  </si>
  <si>
    <t>Login is blocked and a validation error indicates the password is required.</t>
  </si>
  <si>
    <t>TC_LOGIN_007</t>
  </si>
  <si>
    <t>Unable to log in when user leaves both username and password fields empty.</t>
  </si>
  <si>
    <t>1. Leave both fields empty.
2. Click Login.</t>
  </si>
  <si>
    <t>Username: blank
Password: blank</t>
  </si>
  <si>
    <t>Login is blocked and a validation error is displayed.</t>
  </si>
  <si>
    <t>TC_LOGIN_008</t>
  </si>
  <si>
    <t>Unable to log in when user enters credentials for a locked-out user.</t>
  </si>
  <si>
    <t>1. Enter the locked-out username.
2. Enter the valid password.
3. Click Login.</t>
  </si>
  <si>
    <t>Username: locked_out_user
Password: secret_sauce</t>
  </si>
  <si>
    <t>Login is rejected and a locked-out user error message is displayed.</t>
  </si>
  <si>
    <t>TC_LOGIN_009</t>
  </si>
  <si>
    <t>Verify that the user remains on the Login page when login fails.</t>
  </si>
  <si>
    <t>1. Enter invalid credentials.
2. Click Login.
3. Observe the URL and visible page.</t>
  </si>
  <si>
    <t>User remains on the login page and does not reach Products.</t>
  </si>
  <si>
    <t>Medium</t>
  </si>
  <si>
    <t>TC_PRODUCT_001</t>
  </si>
  <si>
    <t>Verify that products are displayed on the Products page after successful login.</t>
  </si>
  <si>
    <t>User is logged in as standard_user and on Products page.</t>
  </si>
  <si>
    <t>1. Open Products page.
2. Observe the product list.</t>
  </si>
  <si>
    <t>Username: standard_user</t>
  </si>
  <si>
    <t>Product inventory is displayed with product cards.</t>
  </si>
  <si>
    <t>TC_PRODUCT_002</t>
  </si>
  <si>
    <t>Verify that each product displays its name, description, price, and image.</t>
  </si>
  <si>
    <t>User is logged in and Products page is displayed.</t>
  </si>
  <si>
    <t>1. Locate a product card.
2. Check product name, description, price, and image.</t>
  </si>
  <si>
    <t>Any listed product</t>
  </si>
  <si>
    <t>Product name, description, price, and image are displayed for the selected product.</t>
  </si>
  <si>
    <t>TC_PRODUCT_003</t>
  </si>
  <si>
    <t>Able to sort products by name in ascending order when user selects Name (A to Z).</t>
  </si>
  <si>
    <t>1. Select Name (A to Z) from the sort control.
2. Observe product order.</t>
  </si>
  <si>
    <t>Sort: Name (A to Z)</t>
  </si>
  <si>
    <t>Products are ordered alphabetically by name in ascending order.</t>
  </si>
  <si>
    <t>TC_PRODUCT_004</t>
  </si>
  <si>
    <t>Able to sort products by name in descending order when user selects Name (Z to A).</t>
  </si>
  <si>
    <t>1. Select Name (Z to A) from the sort control.
2. Observe product order.</t>
  </si>
  <si>
    <t>Sort: Name (Z to A)</t>
  </si>
  <si>
    <t>Products are ordered alphabetically by name in descending order.</t>
  </si>
  <si>
    <t>TC_PRODUCT_005</t>
  </si>
  <si>
    <t>Able to sort products by price in ascending order when user selects Price (low to high).</t>
  </si>
  <si>
    <t>1. Select Price (low to high) from the sort control.
2. Observe product order.</t>
  </si>
  <si>
    <t>Sort: Price (low to high)</t>
  </si>
  <si>
    <t>Products are ordered by price from lowest to highest.</t>
  </si>
  <si>
    <t>TC_PRODUCT_006</t>
  </si>
  <si>
    <t>Able to sort products by price in descending order when user selects Price (high to low).</t>
  </si>
  <si>
    <t>1. Select Price (high to low) from the sort control.
2. Observe product order.</t>
  </si>
  <si>
    <t>Sort: Price (high to low)</t>
  </si>
  <si>
    <t>Products are ordered by price from highest to lowest.</t>
  </si>
  <si>
    <t>TC_PRODUCT_007</t>
  </si>
  <si>
    <t>Able to add a product to the cart when user clicks Add to cart.</t>
  </si>
  <si>
    <t>1. Click Add to cart for one product.
2. Observe the button and cart badge.</t>
  </si>
  <si>
    <t>Product: any available product</t>
  </si>
  <si>
    <t>The button changes to Remove and the cart badge reflects one item.</t>
  </si>
  <si>
    <t>TC_PRODUCT_008</t>
  </si>
  <si>
    <t>Able to add multiple products to the cart when user clicks Add to cart for each product.</t>
  </si>
  <si>
    <t>1. Add two or more different products.
2. Observe the cart badge.</t>
  </si>
  <si>
    <t>At least 2 different products</t>
  </si>
  <si>
    <t>Each selected product is added and the cart badge equals the number of selected items.</t>
  </si>
  <si>
    <t>TC_PRODUCT_009</t>
  </si>
  <si>
    <t>Verify that the Add to cart button changes to Remove after a product is added.</t>
  </si>
  <si>
    <t>1. Click Add to cart on a product.
2. Inspect the same product button.</t>
  </si>
  <si>
    <t>The selected product's button changes from Add to cart to Remove.</t>
  </si>
  <si>
    <t>TC_PRODUCT_010</t>
  </si>
  <si>
    <t>Able to remove a product from the cart when user clicks Remove on the Products page.</t>
  </si>
  <si>
    <t>User is logged in and one product has been added to cart.</t>
  </si>
  <si>
    <t>1. Click Remove for the selected product.
2. Observe the cart badge and button.</t>
  </si>
  <si>
    <t>One product previously added</t>
  </si>
  <si>
    <t>The product is removed from the cart, the badge updates, and the button returns to Add to cart.</t>
  </si>
  <si>
    <t>TC_PRODUCT_011</t>
  </si>
  <si>
    <t>Able to open the Cart page when user clicks the cart icon.</t>
  </si>
  <si>
    <t>1. Click the shopping cart icon.</t>
  </si>
  <si>
    <t>Cart may be empty or contain products</t>
  </si>
  <si>
    <t>The Cart page opens.</t>
  </si>
  <si>
    <t>TC_PRODUCT_012</t>
  </si>
  <si>
    <t>Verify that the cart badge displays the correct item count after products are added.</t>
  </si>
  <si>
    <t>1. Add two products.
2. Observe the cart badge.</t>
  </si>
  <si>
    <t>2 products</t>
  </si>
  <si>
    <t>The cart badge displays the number of products added.</t>
  </si>
  <si>
    <t>TC_PRODUCT_013</t>
  </si>
  <si>
    <t>Verify that the cart badge updates correctly after a product is removed.</t>
  </si>
  <si>
    <t>User is logged in and at least one product is in the cart.</t>
  </si>
  <si>
    <t>1. Remove one selected product.
2. Observe the cart badge.</t>
  </si>
  <si>
    <t>At least 1 product initially</t>
  </si>
  <si>
    <t>The cart badge decreases to match the remaining cart items, and is absent if no items remain.</t>
  </si>
  <si>
    <t>TC_PRODUCT_014</t>
  </si>
  <si>
    <t>Able to open a product detail page when user clicks a product name or image.</t>
  </si>
  <si>
    <t>1. Click a product name or image.</t>
  </si>
  <si>
    <t>The corresponding product detail page opens.</t>
  </si>
  <si>
    <t>TC_PRODUCT_015</t>
  </si>
  <si>
    <t>Verify that the product detail page displays the selected product information correctly.</t>
  </si>
  <si>
    <t>User is logged in and a product detail page is open.</t>
  </si>
  <si>
    <t>1. Check product name, description, price, and image.</t>
  </si>
  <si>
    <t>The detail page displays the selected product's information consistently.</t>
  </si>
  <si>
    <t>TC_PRODUCT_016</t>
  </si>
  <si>
    <t>Able to add a product to the cart from the detail page when user clicks Add to cart.</t>
  </si>
  <si>
    <t>1. Click Add to cart.
2. Observe the button and cart badge.</t>
  </si>
  <si>
    <t>Selected product</t>
  </si>
  <si>
    <t>The product is added, the button changes to Remove, and the cart badge updates.</t>
  </si>
  <si>
    <t>TC_PRODUCT_017</t>
  </si>
  <si>
    <t>Able to return to the Products page when user clicks Back to products.</t>
  </si>
  <si>
    <t>1. Click Back to products.</t>
  </si>
  <si>
    <t>N/A</t>
  </si>
  <si>
    <t>The Products page opens again.</t>
  </si>
  <si>
    <t>Low</t>
  </si>
  <si>
    <t>TC_PRODUCT_018</t>
  </si>
  <si>
    <t>Able to remove a product from the cart from the detail page when user clicks Remove.</t>
  </si>
  <si>
    <t>User is logged in and a product detail page is open; selected product is in cart.</t>
  </si>
  <si>
    <t>1. Click Remove.
2. Observe button and cart badge.</t>
  </si>
  <si>
    <t>Selected product already in cart</t>
  </si>
  <si>
    <t>The product is removed and the button and cart badge update accordingly.</t>
  </si>
  <si>
    <t>TC_CART_001</t>
  </si>
  <si>
    <t>Able to remove a product from the cart when user clicks Remove on the Cart page.</t>
  </si>
  <si>
    <t>User is logged in and a product is in the cart.</t>
  </si>
  <si>
    <t>1. Open the Cart page.
2. Click Remove for a listed product.
3. Observe the cart contents.</t>
  </si>
  <si>
    <t>One or more products in cart</t>
  </si>
  <si>
    <t>The selected product is removed from the cart.</t>
  </si>
  <si>
    <t>TC_CART_002</t>
  </si>
  <si>
    <t>Verify that the cart is empty after user removes all products.</t>
  </si>
  <si>
    <t>1. Open the Cart page.
2. Remove every product.
3. Observe the cart contents.</t>
  </si>
  <si>
    <t>At least 1 product</t>
  </si>
  <si>
    <t>No product rows remain in the cart.</t>
  </si>
  <si>
    <t>TC_CART_003</t>
  </si>
  <si>
    <t>Able to return to the Products page when user clicks Continue Shopping.</t>
  </si>
  <si>
    <t>User is logged in and on the Cart page.</t>
  </si>
  <si>
    <t>1. Click Continue Shopping.</t>
  </si>
  <si>
    <t>The user returns to the Products page.</t>
  </si>
  <si>
    <t>TC_CART_004</t>
  </si>
  <si>
    <t>Able to proceed to checkout when user clicks Checkout from the Cart page.</t>
  </si>
  <si>
    <t>User is logged in and the Cart page is displayed.</t>
  </si>
  <si>
    <t>1. Click Checkout.</t>
  </si>
  <si>
    <t>Cart contains a product</t>
  </si>
  <si>
    <t>The Checkout: Your Information page opens.</t>
  </si>
  <si>
    <t>TC_CART_005</t>
  </si>
  <si>
    <t>Verify that cart items persist when user navigates between the Products and Cart pages.</t>
  </si>
  <si>
    <t>User is logged in and one or more products are in the cart.</t>
  </si>
  <si>
    <t>1. Navigate from Products to Cart.
2. Return to Products or navigate back to Cart.
3. Observe selected items.</t>
  </si>
  <si>
    <t>Previously selected cart items remain present during navigation.</t>
  </si>
  <si>
    <t>TC_CHECKOUT_001</t>
  </si>
  <si>
    <t>Able to proceed to the order review when user enters valid checkout information.</t>
  </si>
  <si>
    <t>User is logged in, a product is in the cart, and Checkout: Your Information is open.</t>
  </si>
  <si>
    <t>1. Enter first name, last name, and postal code.
2. Click Continue.</t>
  </si>
  <si>
    <t>First name: Test
Last name: User
Postal code: 10110</t>
  </si>
  <si>
    <t>The user proceeds to the order overview/review page.</t>
  </si>
  <si>
    <t>TC_CHECKOUT_002</t>
  </si>
  <si>
    <t>Unable to continue checkout when user leaves the First Name field empty.</t>
  </si>
  <si>
    <t>Checkout information page is open.</t>
  </si>
  <si>
    <t>1. Leave First Name empty.
2. Fill Last Name and Postal Code.
3. Click Continue.</t>
  </si>
  <si>
    <t>First name: blank
Last name: User
Postal code: 10110</t>
  </si>
  <si>
    <t>Checkout is blocked and a validation error indicates First Name is required.</t>
  </si>
  <si>
    <t>TC_CHECKOUT_003</t>
  </si>
  <si>
    <t>Unable to continue checkout when user leaves the Last Name field empty.</t>
  </si>
  <si>
    <t>1. Fill First Name.
2. Leave Last Name empty.
3. Fill Postal Code.
4. Click Continue.</t>
  </si>
  <si>
    <t>First name: Test
Last name: blank
Postal code: 10110</t>
  </si>
  <si>
    <t>Checkout is blocked and a validation error indicates Last Name is required.</t>
  </si>
  <si>
    <t>TC_CHECKOUT_004</t>
  </si>
  <si>
    <t>Unable to continue checkout when user leaves the Postal Code field empty.</t>
  </si>
  <si>
    <t>1. Fill First Name and Last Name.
2. Leave Postal Code empty.
3. Click Continue.</t>
  </si>
  <si>
    <t>First name: Test
Last name: User
Postal code: blank</t>
  </si>
  <si>
    <t>Checkout is blocked and a validation error indicates Postal Code is required.</t>
  </si>
  <si>
    <t>TC_CHECKOUT_005</t>
  </si>
  <si>
    <t>Verify that the order review displays the selected product.</t>
  </si>
  <si>
    <t>User has filled valid checkout information and is on the order review page.</t>
  </si>
  <si>
    <t>1. Compare the product shown on review with the product added to cart.</t>
  </si>
  <si>
    <t>One known product</t>
  </si>
  <si>
    <t>The order review shows the expected product.</t>
  </si>
  <si>
    <t>TC_CHECKOUT_006</t>
  </si>
  <si>
    <t>Verify that the product quantity on the order review matches the cart.</t>
  </si>
  <si>
    <t>User has added a product and reached the order review page.</t>
  </si>
  <si>
    <t>1. Inspect the quantity shown for the selected product.</t>
  </si>
  <si>
    <t>One or more cart items</t>
  </si>
  <si>
    <t>The quantity on the review page matches the cart selection.</t>
  </si>
  <si>
    <t>TC_CHECKOUT_007</t>
  </si>
  <si>
    <t>Verify that all selected products appear on the order review.</t>
  </si>
  <si>
    <t>User has added multiple products and reached the order review page.</t>
  </si>
  <si>
    <t>1. Inspect the list of products on the review page.</t>
  </si>
  <si>
    <t>All selected products appear on the review page.</t>
  </si>
  <si>
    <t>TC_CHECKOUT_008</t>
  </si>
  <si>
    <t>Verify that the order totals are calculated correctly on the order review.</t>
  </si>
  <si>
    <t>User has added product(s) and reached the order review page.</t>
  </si>
  <si>
    <t>1. Check item total, tax, and total.
2. Compare displayed total with item total plus tax.</t>
  </si>
  <si>
    <t>Cart with known product(s)</t>
  </si>
  <si>
    <t>Displayed totals are consistent with the listed item prices and tax calculation.</t>
  </si>
  <si>
    <t>TC_CHECKOUT_009</t>
  </si>
  <si>
    <t>Able to cancel checkout when user clicks Cancel.</t>
  </si>
  <si>
    <t>User is on the checkout information or review flow.</t>
  </si>
  <si>
    <t>1. Click Cancel on the current checkout step.</t>
  </si>
  <si>
    <t>The user exits the current checkout step and returns to the appropriate previous page without completing the order.</t>
  </si>
  <si>
    <t>TC_CHECKOUT_010</t>
  </si>
  <si>
    <t>Able to complete the order when user clicks Finish.</t>
  </si>
  <si>
    <t>User is on the order review page with valid checkout information.</t>
  </si>
  <si>
    <t>1. Click Finish.</t>
  </si>
  <si>
    <t>Valid checkout data and cart items</t>
  </si>
  <si>
    <t>The order completes and the order confirmation page is displayed.</t>
  </si>
  <si>
    <t>TC_CHECKOUT_011</t>
  </si>
  <si>
    <t>Verify that the thank-you message is displayed after order completion.</t>
  </si>
  <si>
    <t>User has completed the order.</t>
  </si>
  <si>
    <t>1. Observe the order confirmation page.</t>
  </si>
  <si>
    <t>Completed order</t>
  </si>
  <si>
    <t>A confirmation/thank-you message is displayed.</t>
  </si>
  <si>
    <t>TC_CHECKOUT_012</t>
  </si>
  <si>
    <t>Verify that the cart is empty after order completion.</t>
  </si>
  <si>
    <t>User has completed an order.</t>
  </si>
  <si>
    <t>1. Open or return to the Cart page.
2. Inspect cart contents.</t>
  </si>
  <si>
    <t>The cart is empty after successful order completion.</t>
  </si>
  <si>
    <t>TC_CHECKOUT_013</t>
  </si>
  <si>
    <t>Verify that the cart badge is not displayed after order completion.</t>
  </si>
  <si>
    <t>1. Return to Products page.
2. Inspect the cart badge.</t>
  </si>
  <si>
    <t>The cart badge is absent when no items remain in the cart.</t>
  </si>
  <si>
    <t>TC_CHECKOUT_014</t>
  </si>
  <si>
    <t>Able to return to the Products page when user clicks Back Home after order completion.</t>
  </si>
  <si>
    <t>User has completed an order and is on confirmation page.</t>
  </si>
  <si>
    <t>1. Click Back Home.</t>
  </si>
  <si>
    <t>TC_MENU_001</t>
  </si>
  <si>
    <t>Able to open the side menu when user clicks the menu button.</t>
  </si>
  <si>
    <t>User is logged in and on a page with the menu button.</t>
  </si>
  <si>
    <t>1. Click the menu button.</t>
  </si>
  <si>
    <t>The navigation side menu opens and its menu items are visible.</t>
  </si>
  <si>
    <t>TC_MENU_002</t>
  </si>
  <si>
    <t>Able to navigate to the Products page when user selects All Items from the side menu.</t>
  </si>
  <si>
    <t>The side menu is open.</t>
  </si>
  <si>
    <t>1. Click All Items.</t>
  </si>
  <si>
    <t>The user is taken to the Products page.</t>
  </si>
  <si>
    <t>TC_MENU_003</t>
  </si>
  <si>
    <t>Able to navigate to the About page when user selects About from the side menu.</t>
  </si>
  <si>
    <t>User is logged in and the side menu is available.</t>
  </si>
  <si>
    <t>1. Open the side menu.
2. Click About.</t>
  </si>
  <si>
    <t>The About destination opens as expected.</t>
  </si>
  <si>
    <t>TC_MENU_004</t>
  </si>
  <si>
    <t>Able to log out when user selects Logout from the side menu.</t>
  </si>
  <si>
    <t>User is logged in.</t>
  </si>
  <si>
    <t>1. Open the side menu.
2. Click Logout.</t>
  </si>
  <si>
    <t>Logged-in session</t>
  </si>
  <si>
    <t>The user is logged out and returned to the login page.</t>
  </si>
  <si>
    <t>TC_MENU_005</t>
  </si>
  <si>
    <t>Able to reset the application state when user selects Reset App State from the side menu.</t>
  </si>
  <si>
    <t>User is logged in and one or more products have been added to the cart.</t>
  </si>
  <si>
    <t>1. Open the side menu.
2. Click Reset App State.
3. Inspect cart and product buttons.</t>
  </si>
  <si>
    <t>At least 1 product in cart</t>
  </si>
  <si>
    <t>The cart state is reset and product controls return to their default state.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</si>
</sst>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8.0"/>
      <color rgb="FFFFFFFF"/>
      <name val="Calibri"/>
      <scheme val="minor"/>
    </font>
    <font>
      <b/>
      <color rgb="FFFFFFFF"/>
      <name val="Calibri"/>
      <scheme val="minor"/>
    </font>
    <font/>
    <font>
      <b/>
      <color rgb="FF17365D"/>
      <name val="Calibri"/>
      <scheme val="minor"/>
    </font>
    <font>
      <sz val="11.0"/>
      <color theme="1"/>
      <name val="Calibri"/>
    </font>
  </fonts>
  <fills count="7">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2F75B5"/>
        <bgColor rgb="FF2F75B5"/>
      </patternFill>
    </fill>
    <fill>
      <patternFill patternType="solid">
        <fgColor rgb="FFF7FAFC"/>
        <bgColor rgb="FFF7FAFC"/>
      </patternFill>
    </fill>
    <fill>
      <patternFill patternType="solid">
        <fgColor rgb="FFE2F0D9"/>
        <bgColor rgb="FFE2F0D9"/>
      </patternFill>
    </fill>
  </fills>
  <borders count="7">
    <border/>
    <border>
      <left/>
      <top/>
      <bottom/>
    </border>
    <border>
      <left/>
      <right/>
      <top/>
      <bottom/>
    </border>
    <border>
      <top/>
      <bottom/>
    </border>
    <border>
      <right/>
      <top/>
      <bottom/>
    </border>
    <border>
      <bottom style="thin">
        <color rgb="FFD9E1F2"/>
      </bottom>
    </border>
    <border>
      <bottom style="medium">
        <color rgb="FFFFFFF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ill="1" applyFont="1"/>
    <xf borderId="3" fillId="0" fontId="3" numFmtId="0" xfId="0" applyBorder="1" applyFont="1"/>
    <xf borderId="4" fillId="0" fontId="3" numFmtId="0" xfId="0" applyBorder="1" applyFont="1"/>
    <xf borderId="5" fillId="3" fontId="4" numFmtId="0" xfId="0" applyAlignment="1" applyBorder="1" applyFill="1" applyFont="1">
      <alignment shrinkToFit="0" vertical="top" wrapText="1"/>
    </xf>
    <xf borderId="5" fillId="0" fontId="5" numFmtId="0" xfId="0" applyAlignment="1" applyBorder="1" applyFont="1">
      <alignment shrinkToFit="0" vertical="top" wrapText="1"/>
    </xf>
    <xf borderId="2" fillId="4" fontId="2" numFmtId="0" xfId="0" applyBorder="1" applyFill="1" applyFont="1"/>
    <xf borderId="5" fillId="5" fontId="5" numFmtId="0" xfId="0" applyAlignment="1" applyBorder="1" applyFill="1" applyFont="1">
      <alignment shrinkToFit="0" vertical="top" wrapText="1"/>
    </xf>
    <xf borderId="5" fillId="5" fontId="5" numFmtId="0" xfId="0" applyAlignment="1" applyBorder="1" applyFill="1" applyFont="1">
      <alignment shrinkToFit="0" vertical="center" wrapText="1"/>
    </xf>
    <xf borderId="6" fillId="2" fontId="2" numFmtId="0" xfId="0" applyAlignment="1" applyBorder="1" applyFill="1" applyFont="1">
      <alignment horizontal="center" readingOrder="0" shrinkToFit="0" vertical="center" wrapText="1"/>
    </xf>
    <xf borderId="5" fillId="5" fontId="4" numFmtId="0" xfId="0" applyAlignment="1" applyBorder="1" applyFill="1" applyFont="1">
      <alignment shrinkToFit="0" vertical="top" wrapText="1"/>
    </xf>
    <xf borderId="5" fillId="5" fontId="5" numFmtId="0" xfId="0" applyAlignment="1" applyBorder="1" applyFill="1" applyFont="1">
      <alignment shrinkToFit="0" vertical="top" wrapText="1"/>
    </xf>
    <xf borderId="5" fillId="5" fontId="5" numFmtId="0" xfId="0" applyAlignment="1" applyBorder="1" applyFill="1" applyFont="1">
      <alignment horizontal="left" shrinkToFit="0" vertical="top" wrapText="1"/>
    </xf>
    <xf borderId="5" fillId="6" fontId="5" numFmtId="0" xfId="0" applyAlignment="1" applyBorder="1" applyFill="1" applyFont="1">
      <alignment shrinkToFit="0" vertical="top" wrapText="1"/>
    </xf>
    <xf borderId="5" fillId="5" fontId="5" numFmtId="0" xfId="0" applyAlignment="1" applyBorder="1" applyFill="1" applyFont="1">
      <alignment horizontal="center" shrinkToFit="0" vertical="top" wrapText="1"/>
    </xf>
    <xf borderId="5" fillId="0" fontId="4" numFmtId="0" xfId="0" applyAlignment="1" applyBorder="1" applyFont="1">
      <alignment shrinkToFit="0" vertical="top" wrapText="1"/>
    </xf>
    <xf borderId="5" fillId="0" fontId="5" numFmtId="0" xfId="0" applyAlignment="1" applyBorder="1" applyFont="1">
      <alignment shrinkToFit="0" vertical="top" wrapText="1"/>
    </xf>
    <xf borderId="5" fillId="0" fontId="5" numFmtId="0" xfId="0" applyAlignment="1" applyBorder="1" applyFont="1">
      <alignment horizontal="left" shrinkToFit="0" vertical="top" wrapText="1"/>
    </xf>
    <xf borderId="5" fillId="0" fontId="5" numFmtId="0" xfId="0" applyAlignment="1" applyBorder="1" applyFont="1">
      <alignment horizontal="center" shrinkToFit="0" vertical="top" wrapText="1"/>
    </xf>
  </cellXfs>
  <cellStyles count="1">
    <cellStyle xfId="0" name="Normal" builtinId="0"/>
  </cellStyles>
  <dxfs count="8">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E2F0D9"/>
          <bgColor rgb="FFE2F0D9"/>
        </patternFill>
      </fill>
      <border/>
    </dxf>
    <dxf>
      <font/>
      <fill>
        <patternFill patternType="solid">
          <fgColor rgb="FFF4CCCC"/>
          <bgColor rgb="FFF4CCCC"/>
        </patternFill>
      </fill>
      <border/>
    </dxf>
    <dxf>
      <font/>
      <fill>
        <patternFill patternType="solid">
          <fgColor rgb="FFFFF2CC"/>
          <bgColor rgb="FFFFF2CC"/>
        </patternFill>
      </fill>
      <border/>
    </dxf>
  </dxfs>
  <tableStyles count="1">
    <tableStyle count="4" pivot="0" name="Test 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52" displayName="TestCasesTable" name="TestCasesTable" id="1">
  <autoFilter ref="$A$1:$L$52"/>
  <tableColumns count="12">
    <tableColumn name="Test Case ID" id="1"/>
    <tableColumn name="Module" id="2"/>
    <tableColumn name="Test Scenario" id="3"/>
    <tableColumn name="Preconditions" id="4"/>
    <tableColumn name="Test Steps" id="5"/>
    <tableColumn name="Test Data" id="6"/>
    <tableColumn name="Expected Result" id="7"/>
    <tableColumn name="Actual Result" id="8"/>
    <tableColumn name="Execution Status" id="9"/>
    <tableColumn name="Priority" id="10"/>
    <tableColumn name="Automation Status" id="11"/>
    <tableColumn name="Evidence / Notes" id="12"/>
  </tableColumns>
  <tableStyleInfo name="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22.0"/>
    <col customWidth="1" min="3" max="3" width="62.0"/>
    <col customWidth="1" min="4" max="4" width="4.0"/>
    <col customWidth="1" min="5" max="26" width="8.71"/>
  </cols>
  <sheetData>
    <row r="1" ht="31.5" customHeight="1">
      <c r="A1" s="1" t="s">
        <v>1</v>
      </c>
      <c r="B1" s="3"/>
      <c r="C1" s="3"/>
      <c r="D1" s="4"/>
    </row>
    <row r="2">
      <c r="A2" s="7" t="s">
        <v>5</v>
      </c>
      <c r="B2" s="7" t="s">
        <v>16</v>
      </c>
      <c r="C2" s="7" t="s">
        <v>19</v>
      </c>
    </row>
    <row r="3">
      <c r="A3" s="9" t="s">
        <v>23</v>
      </c>
      <c r="B3" s="9">
        <f>COUNTA('Test Cases'!A2:A52)</f>
        <v>51</v>
      </c>
      <c r="C3" s="9" t="s">
        <v>55</v>
      </c>
    </row>
    <row r="4">
      <c r="A4" s="9" t="s">
        <v>56</v>
      </c>
      <c r="B4" s="9">
        <f>COUNTIF('Test Cases'!I2:I52,"Pass*")</f>
        <v>51</v>
      </c>
      <c r="C4" s="9" t="s">
        <v>57</v>
      </c>
    </row>
    <row r="5">
      <c r="A5" s="9" t="s">
        <v>58</v>
      </c>
      <c r="B5" s="9">
        <f>COUNTIF('Test Cases'!I2:I52,"Fail*")</f>
        <v>0</v>
      </c>
      <c r="C5" s="9" t="s">
        <v>59</v>
      </c>
    </row>
    <row r="6">
      <c r="A6" s="9" t="s">
        <v>60</v>
      </c>
      <c r="B6" s="9">
        <f>COUNTIF('Test Cases'!I2:I52,"Not Run")</f>
        <v>0</v>
      </c>
      <c r="C6" s="9" t="s">
        <v>61</v>
      </c>
    </row>
    <row r="7">
      <c r="A7" s="9" t="s">
        <v>62</v>
      </c>
      <c r="B7" s="9">
        <f>COUNTIF('Test Cases'!K2:K52,"Automated")</f>
        <v>51</v>
      </c>
      <c r="C7" s="9" t="s">
        <v>63</v>
      </c>
    </row>
    <row r="9">
      <c r="A9" s="7" t="s">
        <v>64</v>
      </c>
      <c r="B9" s="7" t="s">
        <v>65</v>
      </c>
      <c r="C9" s="7" t="s">
        <v>66</v>
      </c>
    </row>
    <row r="10">
      <c r="A10" s="9" t="s">
        <v>67</v>
      </c>
      <c r="B10" s="9">
        <v>9.0</v>
      </c>
      <c r="C10" s="9" t="s">
        <v>68</v>
      </c>
    </row>
    <row r="11">
      <c r="A11" s="9" t="s">
        <v>69</v>
      </c>
      <c r="B11" s="9">
        <v>18.0</v>
      </c>
      <c r="C11" s="9" t="s">
        <v>70</v>
      </c>
    </row>
    <row r="12">
      <c r="A12" s="9" t="s">
        <v>71</v>
      </c>
      <c r="B12" s="9">
        <v>5.0</v>
      </c>
      <c r="C12" s="9" t="s">
        <v>72</v>
      </c>
    </row>
    <row r="13">
      <c r="A13" s="9" t="s">
        <v>73</v>
      </c>
      <c r="B13" s="9">
        <v>14.0</v>
      </c>
      <c r="C13" s="9" t="s">
        <v>74</v>
      </c>
    </row>
    <row r="14">
      <c r="A14" s="9" t="s">
        <v>75</v>
      </c>
      <c r="B14" s="9">
        <v>5.0</v>
      </c>
      <c r="C14" s="9"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71"/>
    <col customWidth="1" min="2" max="2" width="14.0"/>
    <col customWidth="1" min="3" max="3" width="36.0"/>
    <col customWidth="1" min="4" max="4" width="42.0"/>
    <col customWidth="1" min="5" max="5" width="48.0"/>
    <col customWidth="1" min="6" max="6" width="32.0"/>
    <col customWidth="1" min="7" max="8" width="48.0"/>
    <col customWidth="1" min="9" max="9" width="34.0"/>
    <col customWidth="1" min="10" max="10" width="14.0"/>
    <col customWidth="1" min="11" max="11" width="20.0"/>
    <col customWidth="1" min="12" max="12" width="32.0"/>
    <col customWidth="1" min="13" max="26" width="8.71"/>
  </cols>
  <sheetData>
    <row r="1" ht="33.75" customHeight="1">
      <c r="A1" s="10" t="s">
        <v>77</v>
      </c>
      <c r="B1" s="10" t="s">
        <v>64</v>
      </c>
      <c r="C1" s="10" t="s">
        <v>78</v>
      </c>
      <c r="D1" s="10" t="s">
        <v>13</v>
      </c>
      <c r="E1" s="10" t="s">
        <v>79</v>
      </c>
      <c r="F1" s="10" t="s">
        <v>80</v>
      </c>
      <c r="G1" s="10" t="s">
        <v>18</v>
      </c>
      <c r="H1" s="10" t="s">
        <v>21</v>
      </c>
      <c r="I1" s="10" t="s">
        <v>81</v>
      </c>
      <c r="J1" s="10" t="s">
        <v>26</v>
      </c>
      <c r="K1" s="10" t="s">
        <v>47</v>
      </c>
      <c r="L1" s="10" t="s">
        <v>49</v>
      </c>
    </row>
    <row r="2" ht="85.5" customHeight="1">
      <c r="A2" s="11" t="s">
        <v>82</v>
      </c>
      <c r="B2" s="12" t="s">
        <v>67</v>
      </c>
      <c r="C2" s="13" t="s">
        <v>83</v>
      </c>
      <c r="D2" s="12" t="s">
        <v>84</v>
      </c>
      <c r="E2" s="12" t="s">
        <v>85</v>
      </c>
      <c r="F2" s="12" t="s">
        <v>86</v>
      </c>
      <c r="G2" s="12" t="s">
        <v>87</v>
      </c>
      <c r="H2" s="12" t="s">
        <v>88</v>
      </c>
      <c r="I2" s="14" t="s">
        <v>89</v>
      </c>
      <c r="J2" s="15" t="s">
        <v>90</v>
      </c>
      <c r="K2" s="15" t="s">
        <v>62</v>
      </c>
      <c r="L2" s="12"/>
    </row>
    <row r="3" ht="85.5" customHeight="1">
      <c r="A3" s="16" t="s">
        <v>91</v>
      </c>
      <c r="B3" s="17" t="s">
        <v>67</v>
      </c>
      <c r="C3" s="18" t="s">
        <v>92</v>
      </c>
      <c r="D3" s="17" t="s">
        <v>93</v>
      </c>
      <c r="E3" s="17" t="s">
        <v>94</v>
      </c>
      <c r="F3" s="17" t="s">
        <v>95</v>
      </c>
      <c r="G3" s="17" t="s">
        <v>96</v>
      </c>
      <c r="H3" s="17" t="s">
        <v>88</v>
      </c>
      <c r="I3" s="14" t="s">
        <v>89</v>
      </c>
      <c r="J3" s="19" t="s">
        <v>90</v>
      </c>
      <c r="K3" s="19" t="s">
        <v>62</v>
      </c>
      <c r="L3" s="17"/>
    </row>
    <row r="4" ht="85.5" customHeight="1">
      <c r="A4" s="11" t="s">
        <v>97</v>
      </c>
      <c r="B4" s="12" t="s">
        <v>67</v>
      </c>
      <c r="C4" s="13" t="s">
        <v>98</v>
      </c>
      <c r="D4" s="12" t="s">
        <v>93</v>
      </c>
      <c r="E4" s="12" t="s">
        <v>99</v>
      </c>
      <c r="F4" s="12" t="s">
        <v>100</v>
      </c>
      <c r="G4" s="12" t="s">
        <v>96</v>
      </c>
      <c r="H4" s="12" t="s">
        <v>88</v>
      </c>
      <c r="I4" s="14" t="s">
        <v>89</v>
      </c>
      <c r="J4" s="15" t="s">
        <v>90</v>
      </c>
      <c r="K4" s="15" t="s">
        <v>62</v>
      </c>
      <c r="L4" s="12"/>
    </row>
    <row r="5" ht="85.5" customHeight="1">
      <c r="A5" s="16" t="s">
        <v>101</v>
      </c>
      <c r="B5" s="17" t="s">
        <v>67</v>
      </c>
      <c r="C5" s="18" t="s">
        <v>102</v>
      </c>
      <c r="D5" s="17" t="s">
        <v>93</v>
      </c>
      <c r="E5" s="17" t="s">
        <v>103</v>
      </c>
      <c r="F5" s="17" t="s">
        <v>104</v>
      </c>
      <c r="G5" s="17" t="s">
        <v>96</v>
      </c>
      <c r="H5" s="17" t="s">
        <v>88</v>
      </c>
      <c r="I5" s="14" t="s">
        <v>89</v>
      </c>
      <c r="J5" s="19" t="s">
        <v>90</v>
      </c>
      <c r="K5" s="19" t="s">
        <v>62</v>
      </c>
      <c r="L5" s="17"/>
    </row>
    <row r="6" ht="85.5" customHeight="1">
      <c r="A6" s="11" t="s">
        <v>105</v>
      </c>
      <c r="B6" s="12" t="s">
        <v>67</v>
      </c>
      <c r="C6" s="13" t="s">
        <v>106</v>
      </c>
      <c r="D6" s="12" t="s">
        <v>93</v>
      </c>
      <c r="E6" s="12" t="s">
        <v>107</v>
      </c>
      <c r="F6" s="12" t="s">
        <v>108</v>
      </c>
      <c r="G6" s="12" t="s">
        <v>109</v>
      </c>
      <c r="H6" s="12" t="s">
        <v>88</v>
      </c>
      <c r="I6" s="14" t="s">
        <v>89</v>
      </c>
      <c r="J6" s="15" t="s">
        <v>90</v>
      </c>
      <c r="K6" s="15" t="s">
        <v>62</v>
      </c>
      <c r="L6" s="12"/>
    </row>
    <row r="7" ht="85.5" customHeight="1">
      <c r="A7" s="16" t="s">
        <v>110</v>
      </c>
      <c r="B7" s="17" t="s">
        <v>67</v>
      </c>
      <c r="C7" s="18" t="s">
        <v>111</v>
      </c>
      <c r="D7" s="17" t="s">
        <v>93</v>
      </c>
      <c r="E7" s="17" t="s">
        <v>112</v>
      </c>
      <c r="F7" s="17" t="s">
        <v>113</v>
      </c>
      <c r="G7" s="17" t="s">
        <v>114</v>
      </c>
      <c r="H7" s="17" t="s">
        <v>88</v>
      </c>
      <c r="I7" s="14" t="s">
        <v>89</v>
      </c>
      <c r="J7" s="19" t="s">
        <v>90</v>
      </c>
      <c r="K7" s="19" t="s">
        <v>62</v>
      </c>
      <c r="L7" s="17"/>
    </row>
    <row r="8" ht="85.5" customHeight="1">
      <c r="A8" s="11" t="s">
        <v>115</v>
      </c>
      <c r="B8" s="12" t="s">
        <v>67</v>
      </c>
      <c r="C8" s="13" t="s">
        <v>116</v>
      </c>
      <c r="D8" s="12" t="s">
        <v>93</v>
      </c>
      <c r="E8" s="12" t="s">
        <v>117</v>
      </c>
      <c r="F8" s="12" t="s">
        <v>118</v>
      </c>
      <c r="G8" s="12" t="s">
        <v>119</v>
      </c>
      <c r="H8" s="12" t="s">
        <v>88</v>
      </c>
      <c r="I8" s="14" t="s">
        <v>89</v>
      </c>
      <c r="J8" s="15" t="s">
        <v>90</v>
      </c>
      <c r="K8" s="15" t="s">
        <v>62</v>
      </c>
      <c r="L8" s="12"/>
    </row>
    <row r="9" ht="85.5" customHeight="1">
      <c r="A9" s="16" t="s">
        <v>120</v>
      </c>
      <c r="B9" s="17" t="s">
        <v>67</v>
      </c>
      <c r="C9" s="18" t="s">
        <v>121</v>
      </c>
      <c r="D9" s="17" t="s">
        <v>93</v>
      </c>
      <c r="E9" s="17" t="s">
        <v>122</v>
      </c>
      <c r="F9" s="17" t="s">
        <v>123</v>
      </c>
      <c r="G9" s="17" t="s">
        <v>124</v>
      </c>
      <c r="H9" s="17" t="s">
        <v>88</v>
      </c>
      <c r="I9" s="14" t="s">
        <v>89</v>
      </c>
      <c r="J9" s="19" t="s">
        <v>90</v>
      </c>
      <c r="K9" s="19" t="s">
        <v>62</v>
      </c>
      <c r="L9" s="17"/>
    </row>
    <row r="10" ht="85.5" customHeight="1">
      <c r="A10" s="11" t="s">
        <v>125</v>
      </c>
      <c r="B10" s="12" t="s">
        <v>67</v>
      </c>
      <c r="C10" s="13" t="s">
        <v>126</v>
      </c>
      <c r="D10" s="12" t="s">
        <v>93</v>
      </c>
      <c r="E10" s="12" t="s">
        <v>127</v>
      </c>
      <c r="F10" s="12" t="s">
        <v>104</v>
      </c>
      <c r="G10" s="12" t="s">
        <v>128</v>
      </c>
      <c r="H10" s="12" t="s">
        <v>88</v>
      </c>
      <c r="I10" s="14" t="s">
        <v>89</v>
      </c>
      <c r="J10" s="15" t="s">
        <v>129</v>
      </c>
      <c r="K10" s="15" t="s">
        <v>62</v>
      </c>
      <c r="L10" s="12"/>
    </row>
    <row r="11" ht="85.5" customHeight="1">
      <c r="A11" s="16" t="s">
        <v>130</v>
      </c>
      <c r="B11" s="17" t="s">
        <v>69</v>
      </c>
      <c r="C11" s="18" t="s">
        <v>131</v>
      </c>
      <c r="D11" s="17" t="s">
        <v>132</v>
      </c>
      <c r="E11" s="17" t="s">
        <v>133</v>
      </c>
      <c r="F11" s="17" t="s">
        <v>134</v>
      </c>
      <c r="G11" s="17" t="s">
        <v>135</v>
      </c>
      <c r="H11" s="17" t="s">
        <v>88</v>
      </c>
      <c r="I11" s="14" t="s">
        <v>89</v>
      </c>
      <c r="J11" s="19" t="s">
        <v>90</v>
      </c>
      <c r="K11" s="19" t="s">
        <v>62</v>
      </c>
      <c r="L11" s="17"/>
    </row>
    <row r="12" ht="85.5" customHeight="1">
      <c r="A12" s="11" t="s">
        <v>136</v>
      </c>
      <c r="B12" s="12" t="s">
        <v>69</v>
      </c>
      <c r="C12" s="13" t="s">
        <v>137</v>
      </c>
      <c r="D12" s="12" t="s">
        <v>138</v>
      </c>
      <c r="E12" s="12" t="s">
        <v>139</v>
      </c>
      <c r="F12" s="12" t="s">
        <v>140</v>
      </c>
      <c r="G12" s="12" t="s">
        <v>141</v>
      </c>
      <c r="H12" s="12" t="s">
        <v>88</v>
      </c>
      <c r="I12" s="14" t="s">
        <v>89</v>
      </c>
      <c r="J12" s="15" t="s">
        <v>129</v>
      </c>
      <c r="K12" s="15" t="s">
        <v>62</v>
      </c>
      <c r="L12" s="12"/>
    </row>
    <row r="13" ht="85.5" customHeight="1">
      <c r="A13" s="16" t="s">
        <v>142</v>
      </c>
      <c r="B13" s="17" t="s">
        <v>69</v>
      </c>
      <c r="C13" s="18" t="s">
        <v>143</v>
      </c>
      <c r="D13" s="17" t="s">
        <v>138</v>
      </c>
      <c r="E13" s="17" t="s">
        <v>144</v>
      </c>
      <c r="F13" s="17" t="s">
        <v>145</v>
      </c>
      <c r="G13" s="17" t="s">
        <v>146</v>
      </c>
      <c r="H13" s="17" t="s">
        <v>88</v>
      </c>
      <c r="I13" s="14" t="s">
        <v>89</v>
      </c>
      <c r="J13" s="19" t="s">
        <v>129</v>
      </c>
      <c r="K13" s="19" t="s">
        <v>62</v>
      </c>
      <c r="L13" s="17"/>
    </row>
    <row r="14" ht="85.5" customHeight="1">
      <c r="A14" s="11" t="s">
        <v>147</v>
      </c>
      <c r="B14" s="12" t="s">
        <v>69</v>
      </c>
      <c r="C14" s="13" t="s">
        <v>148</v>
      </c>
      <c r="D14" s="12" t="s">
        <v>138</v>
      </c>
      <c r="E14" s="12" t="s">
        <v>149</v>
      </c>
      <c r="F14" s="12" t="s">
        <v>150</v>
      </c>
      <c r="G14" s="12" t="s">
        <v>151</v>
      </c>
      <c r="H14" s="12" t="s">
        <v>88</v>
      </c>
      <c r="I14" s="14" t="s">
        <v>89</v>
      </c>
      <c r="J14" s="15" t="s">
        <v>129</v>
      </c>
      <c r="K14" s="15" t="s">
        <v>62</v>
      </c>
      <c r="L14" s="12"/>
    </row>
    <row r="15" ht="85.5" customHeight="1">
      <c r="A15" s="16" t="s">
        <v>152</v>
      </c>
      <c r="B15" s="17" t="s">
        <v>69</v>
      </c>
      <c r="C15" s="18" t="s">
        <v>153</v>
      </c>
      <c r="D15" s="17" t="s">
        <v>138</v>
      </c>
      <c r="E15" s="17" t="s">
        <v>154</v>
      </c>
      <c r="F15" s="17" t="s">
        <v>155</v>
      </c>
      <c r="G15" s="17" t="s">
        <v>156</v>
      </c>
      <c r="H15" s="17" t="s">
        <v>88</v>
      </c>
      <c r="I15" s="14" t="s">
        <v>89</v>
      </c>
      <c r="J15" s="19" t="s">
        <v>129</v>
      </c>
      <c r="K15" s="19" t="s">
        <v>62</v>
      </c>
      <c r="L15" s="17"/>
    </row>
    <row r="16" ht="85.5" customHeight="1">
      <c r="A16" s="11" t="s">
        <v>157</v>
      </c>
      <c r="B16" s="12" t="s">
        <v>69</v>
      </c>
      <c r="C16" s="13" t="s">
        <v>158</v>
      </c>
      <c r="D16" s="12" t="s">
        <v>138</v>
      </c>
      <c r="E16" s="12" t="s">
        <v>159</v>
      </c>
      <c r="F16" s="12" t="s">
        <v>160</v>
      </c>
      <c r="G16" s="12" t="s">
        <v>161</v>
      </c>
      <c r="H16" s="12" t="s">
        <v>88</v>
      </c>
      <c r="I16" s="14" t="s">
        <v>89</v>
      </c>
      <c r="J16" s="15" t="s">
        <v>129</v>
      </c>
      <c r="K16" s="15" t="s">
        <v>62</v>
      </c>
      <c r="L16" s="12"/>
    </row>
    <row r="17" ht="85.5" customHeight="1">
      <c r="A17" s="16" t="s">
        <v>162</v>
      </c>
      <c r="B17" s="17" t="s">
        <v>69</v>
      </c>
      <c r="C17" s="18" t="s">
        <v>163</v>
      </c>
      <c r="D17" s="17" t="s">
        <v>138</v>
      </c>
      <c r="E17" s="17" t="s">
        <v>164</v>
      </c>
      <c r="F17" s="17" t="s">
        <v>165</v>
      </c>
      <c r="G17" s="17" t="s">
        <v>166</v>
      </c>
      <c r="H17" s="17" t="s">
        <v>88</v>
      </c>
      <c r="I17" s="14" t="s">
        <v>89</v>
      </c>
      <c r="J17" s="19" t="s">
        <v>90</v>
      </c>
      <c r="K17" s="19" t="s">
        <v>62</v>
      </c>
      <c r="L17" s="17"/>
    </row>
    <row r="18" ht="85.5" customHeight="1">
      <c r="A18" s="11" t="s">
        <v>167</v>
      </c>
      <c r="B18" s="12" t="s">
        <v>69</v>
      </c>
      <c r="C18" s="13" t="s">
        <v>168</v>
      </c>
      <c r="D18" s="12" t="s">
        <v>138</v>
      </c>
      <c r="E18" s="12" t="s">
        <v>169</v>
      </c>
      <c r="F18" s="12" t="s">
        <v>170</v>
      </c>
      <c r="G18" s="12" t="s">
        <v>171</v>
      </c>
      <c r="H18" s="12" t="s">
        <v>88</v>
      </c>
      <c r="I18" s="14" t="s">
        <v>89</v>
      </c>
      <c r="J18" s="15" t="s">
        <v>90</v>
      </c>
      <c r="K18" s="15" t="s">
        <v>62</v>
      </c>
      <c r="L18" s="12"/>
    </row>
    <row r="19" ht="85.5" customHeight="1">
      <c r="A19" s="16" t="s">
        <v>172</v>
      </c>
      <c r="B19" s="17" t="s">
        <v>69</v>
      </c>
      <c r="C19" s="18" t="s">
        <v>173</v>
      </c>
      <c r="D19" s="17" t="s">
        <v>138</v>
      </c>
      <c r="E19" s="17" t="s">
        <v>174</v>
      </c>
      <c r="F19" s="17" t="s">
        <v>165</v>
      </c>
      <c r="G19" s="17" t="s">
        <v>175</v>
      </c>
      <c r="H19" s="17" t="s">
        <v>88</v>
      </c>
      <c r="I19" s="14" t="s">
        <v>89</v>
      </c>
      <c r="J19" s="19" t="s">
        <v>129</v>
      </c>
      <c r="K19" s="19" t="s">
        <v>62</v>
      </c>
      <c r="L19" s="17"/>
    </row>
    <row r="20" ht="85.5" customHeight="1">
      <c r="A20" s="11" t="s">
        <v>176</v>
      </c>
      <c r="B20" s="12" t="s">
        <v>69</v>
      </c>
      <c r="C20" s="13" t="s">
        <v>177</v>
      </c>
      <c r="D20" s="12" t="s">
        <v>178</v>
      </c>
      <c r="E20" s="12" t="s">
        <v>179</v>
      </c>
      <c r="F20" s="12" t="s">
        <v>180</v>
      </c>
      <c r="G20" s="12" t="s">
        <v>181</v>
      </c>
      <c r="H20" s="12" t="s">
        <v>88</v>
      </c>
      <c r="I20" s="14" t="s">
        <v>89</v>
      </c>
      <c r="J20" s="15" t="s">
        <v>90</v>
      </c>
      <c r="K20" s="15" t="s">
        <v>62</v>
      </c>
      <c r="L20" s="12"/>
    </row>
    <row r="21" ht="85.5" customHeight="1">
      <c r="A21" s="16" t="s">
        <v>182</v>
      </c>
      <c r="B21" s="17" t="s">
        <v>69</v>
      </c>
      <c r="C21" s="18" t="s">
        <v>183</v>
      </c>
      <c r="D21" s="17" t="s">
        <v>138</v>
      </c>
      <c r="E21" s="17" t="s">
        <v>184</v>
      </c>
      <c r="F21" s="17" t="s">
        <v>185</v>
      </c>
      <c r="G21" s="17" t="s">
        <v>186</v>
      </c>
      <c r="H21" s="17" t="s">
        <v>88</v>
      </c>
      <c r="I21" s="14" t="s">
        <v>89</v>
      </c>
      <c r="J21" s="19" t="s">
        <v>129</v>
      </c>
      <c r="K21" s="19" t="s">
        <v>62</v>
      </c>
      <c r="L21" s="17"/>
    </row>
    <row r="22" ht="85.5" customHeight="1">
      <c r="A22" s="11" t="s">
        <v>187</v>
      </c>
      <c r="B22" s="12" t="s">
        <v>69</v>
      </c>
      <c r="C22" s="13" t="s">
        <v>188</v>
      </c>
      <c r="D22" s="12" t="s">
        <v>138</v>
      </c>
      <c r="E22" s="12" t="s">
        <v>189</v>
      </c>
      <c r="F22" s="12" t="s">
        <v>190</v>
      </c>
      <c r="G22" s="12" t="s">
        <v>191</v>
      </c>
      <c r="H22" s="12" t="s">
        <v>88</v>
      </c>
      <c r="I22" s="14" t="s">
        <v>89</v>
      </c>
      <c r="J22" s="15" t="s">
        <v>129</v>
      </c>
      <c r="K22" s="15" t="s">
        <v>62</v>
      </c>
      <c r="L22" s="12"/>
    </row>
    <row r="23" ht="85.5" customHeight="1">
      <c r="A23" s="16" t="s">
        <v>192</v>
      </c>
      <c r="B23" s="17" t="s">
        <v>69</v>
      </c>
      <c r="C23" s="18" t="s">
        <v>193</v>
      </c>
      <c r="D23" s="17" t="s">
        <v>194</v>
      </c>
      <c r="E23" s="17" t="s">
        <v>195</v>
      </c>
      <c r="F23" s="17" t="s">
        <v>196</v>
      </c>
      <c r="G23" s="17" t="s">
        <v>197</v>
      </c>
      <c r="H23" s="17" t="s">
        <v>88</v>
      </c>
      <c r="I23" s="14" t="s">
        <v>89</v>
      </c>
      <c r="J23" s="19" t="s">
        <v>129</v>
      </c>
      <c r="K23" s="19" t="s">
        <v>62</v>
      </c>
      <c r="L23" s="17"/>
    </row>
    <row r="24" ht="85.5" customHeight="1">
      <c r="A24" s="11" t="s">
        <v>198</v>
      </c>
      <c r="B24" s="12" t="s">
        <v>69</v>
      </c>
      <c r="C24" s="13" t="s">
        <v>199</v>
      </c>
      <c r="D24" s="12" t="s">
        <v>138</v>
      </c>
      <c r="E24" s="12" t="s">
        <v>200</v>
      </c>
      <c r="F24" s="12" t="s">
        <v>140</v>
      </c>
      <c r="G24" s="12" t="s">
        <v>201</v>
      </c>
      <c r="H24" s="12" t="s">
        <v>88</v>
      </c>
      <c r="I24" s="14" t="s">
        <v>89</v>
      </c>
      <c r="J24" s="15" t="s">
        <v>129</v>
      </c>
      <c r="K24" s="15" t="s">
        <v>62</v>
      </c>
      <c r="L24" s="12"/>
    </row>
    <row r="25" ht="85.5" customHeight="1">
      <c r="A25" s="16" t="s">
        <v>202</v>
      </c>
      <c r="B25" s="17" t="s">
        <v>69</v>
      </c>
      <c r="C25" s="18" t="s">
        <v>203</v>
      </c>
      <c r="D25" s="17" t="s">
        <v>204</v>
      </c>
      <c r="E25" s="17" t="s">
        <v>205</v>
      </c>
      <c r="F25" s="17" t="s">
        <v>140</v>
      </c>
      <c r="G25" s="17" t="s">
        <v>206</v>
      </c>
      <c r="H25" s="17" t="s">
        <v>88</v>
      </c>
      <c r="I25" s="14" t="s">
        <v>89</v>
      </c>
      <c r="J25" s="19" t="s">
        <v>129</v>
      </c>
      <c r="K25" s="19" t="s">
        <v>62</v>
      </c>
      <c r="L25" s="17"/>
    </row>
    <row r="26" ht="85.5" customHeight="1">
      <c r="A26" s="11" t="s">
        <v>207</v>
      </c>
      <c r="B26" s="12" t="s">
        <v>69</v>
      </c>
      <c r="C26" s="13" t="s">
        <v>208</v>
      </c>
      <c r="D26" s="12" t="s">
        <v>204</v>
      </c>
      <c r="E26" s="12" t="s">
        <v>209</v>
      </c>
      <c r="F26" s="12" t="s">
        <v>210</v>
      </c>
      <c r="G26" s="12" t="s">
        <v>211</v>
      </c>
      <c r="H26" s="12" t="s">
        <v>88</v>
      </c>
      <c r="I26" s="14" t="s">
        <v>89</v>
      </c>
      <c r="J26" s="15" t="s">
        <v>90</v>
      </c>
      <c r="K26" s="15" t="s">
        <v>62</v>
      </c>
      <c r="L26" s="12"/>
    </row>
    <row r="27" ht="85.5" customHeight="1">
      <c r="A27" s="16" t="s">
        <v>212</v>
      </c>
      <c r="B27" s="17" t="s">
        <v>69</v>
      </c>
      <c r="C27" s="18" t="s">
        <v>213</v>
      </c>
      <c r="D27" s="17" t="s">
        <v>204</v>
      </c>
      <c r="E27" s="17" t="s">
        <v>214</v>
      </c>
      <c r="F27" s="17" t="s">
        <v>215</v>
      </c>
      <c r="G27" s="17" t="s">
        <v>216</v>
      </c>
      <c r="H27" s="17" t="s">
        <v>88</v>
      </c>
      <c r="I27" s="14" t="s">
        <v>89</v>
      </c>
      <c r="J27" s="19" t="s">
        <v>217</v>
      </c>
      <c r="K27" s="19" t="s">
        <v>62</v>
      </c>
      <c r="L27" s="17"/>
    </row>
    <row r="28" ht="85.5" customHeight="1">
      <c r="A28" s="11" t="s">
        <v>218</v>
      </c>
      <c r="B28" s="12" t="s">
        <v>69</v>
      </c>
      <c r="C28" s="13" t="s">
        <v>219</v>
      </c>
      <c r="D28" s="12" t="s">
        <v>220</v>
      </c>
      <c r="E28" s="12" t="s">
        <v>221</v>
      </c>
      <c r="F28" s="12" t="s">
        <v>222</v>
      </c>
      <c r="G28" s="12" t="s">
        <v>223</v>
      </c>
      <c r="H28" s="12" t="s">
        <v>88</v>
      </c>
      <c r="I28" s="14" t="s">
        <v>89</v>
      </c>
      <c r="J28" s="15" t="s">
        <v>129</v>
      </c>
      <c r="K28" s="15" t="s">
        <v>62</v>
      </c>
      <c r="L28" s="12"/>
    </row>
    <row r="29" ht="85.5" customHeight="1">
      <c r="A29" s="16" t="s">
        <v>224</v>
      </c>
      <c r="B29" s="17" t="s">
        <v>71</v>
      </c>
      <c r="C29" s="18" t="s">
        <v>225</v>
      </c>
      <c r="D29" s="17" t="s">
        <v>226</v>
      </c>
      <c r="E29" s="17" t="s">
        <v>227</v>
      </c>
      <c r="F29" s="17" t="s">
        <v>228</v>
      </c>
      <c r="G29" s="17" t="s">
        <v>229</v>
      </c>
      <c r="H29" s="17" t="s">
        <v>88</v>
      </c>
      <c r="I29" s="14" t="s">
        <v>89</v>
      </c>
      <c r="J29" s="19" t="s">
        <v>90</v>
      </c>
      <c r="K29" s="19" t="s">
        <v>62</v>
      </c>
      <c r="L29" s="17"/>
    </row>
    <row r="30" ht="85.5" customHeight="1">
      <c r="A30" s="11" t="s">
        <v>230</v>
      </c>
      <c r="B30" s="12" t="s">
        <v>71</v>
      </c>
      <c r="C30" s="13" t="s">
        <v>231</v>
      </c>
      <c r="D30" s="12" t="s">
        <v>194</v>
      </c>
      <c r="E30" s="12" t="s">
        <v>232</v>
      </c>
      <c r="F30" s="12" t="s">
        <v>233</v>
      </c>
      <c r="G30" s="12" t="s">
        <v>234</v>
      </c>
      <c r="H30" s="12" t="s">
        <v>88</v>
      </c>
      <c r="I30" s="14" t="s">
        <v>89</v>
      </c>
      <c r="J30" s="15" t="s">
        <v>129</v>
      </c>
      <c r="K30" s="15" t="s">
        <v>62</v>
      </c>
      <c r="L30" s="12"/>
    </row>
    <row r="31" ht="85.5" customHeight="1">
      <c r="A31" s="16" t="s">
        <v>235</v>
      </c>
      <c r="B31" s="17" t="s">
        <v>71</v>
      </c>
      <c r="C31" s="18" t="s">
        <v>236</v>
      </c>
      <c r="D31" s="17" t="s">
        <v>237</v>
      </c>
      <c r="E31" s="17" t="s">
        <v>238</v>
      </c>
      <c r="F31" s="17" t="s">
        <v>215</v>
      </c>
      <c r="G31" s="17" t="s">
        <v>239</v>
      </c>
      <c r="H31" s="17" t="s">
        <v>88</v>
      </c>
      <c r="I31" s="14" t="s">
        <v>89</v>
      </c>
      <c r="J31" s="19" t="s">
        <v>129</v>
      </c>
      <c r="K31" s="19" t="s">
        <v>62</v>
      </c>
      <c r="L31" s="17"/>
    </row>
    <row r="32" ht="85.5" customHeight="1">
      <c r="A32" s="11" t="s">
        <v>240</v>
      </c>
      <c r="B32" s="12" t="s">
        <v>71</v>
      </c>
      <c r="C32" s="13" t="s">
        <v>241</v>
      </c>
      <c r="D32" s="12" t="s">
        <v>242</v>
      </c>
      <c r="E32" s="12" t="s">
        <v>243</v>
      </c>
      <c r="F32" s="12" t="s">
        <v>244</v>
      </c>
      <c r="G32" s="12" t="s">
        <v>245</v>
      </c>
      <c r="H32" s="12" t="s">
        <v>88</v>
      </c>
      <c r="I32" s="14" t="s">
        <v>89</v>
      </c>
      <c r="J32" s="15" t="s">
        <v>90</v>
      </c>
      <c r="K32" s="15" t="s">
        <v>62</v>
      </c>
      <c r="L32" s="12"/>
    </row>
    <row r="33" ht="85.5" customHeight="1">
      <c r="A33" s="16" t="s">
        <v>246</v>
      </c>
      <c r="B33" s="17" t="s">
        <v>71</v>
      </c>
      <c r="C33" s="18" t="s">
        <v>247</v>
      </c>
      <c r="D33" s="17" t="s">
        <v>248</v>
      </c>
      <c r="E33" s="17" t="s">
        <v>249</v>
      </c>
      <c r="F33" s="17" t="s">
        <v>233</v>
      </c>
      <c r="G33" s="17" t="s">
        <v>250</v>
      </c>
      <c r="H33" s="17" t="s">
        <v>88</v>
      </c>
      <c r="I33" s="14" t="s">
        <v>89</v>
      </c>
      <c r="J33" s="19" t="s">
        <v>129</v>
      </c>
      <c r="K33" s="19" t="s">
        <v>62</v>
      </c>
      <c r="L33" s="17"/>
    </row>
    <row r="34" ht="85.5" customHeight="1">
      <c r="A34" s="11" t="s">
        <v>251</v>
      </c>
      <c r="B34" s="12" t="s">
        <v>73</v>
      </c>
      <c r="C34" s="13" t="s">
        <v>252</v>
      </c>
      <c r="D34" s="12" t="s">
        <v>253</v>
      </c>
      <c r="E34" s="12" t="s">
        <v>254</v>
      </c>
      <c r="F34" s="12" t="s">
        <v>255</v>
      </c>
      <c r="G34" s="12" t="s">
        <v>256</v>
      </c>
      <c r="H34" s="12" t="s">
        <v>88</v>
      </c>
      <c r="I34" s="14" t="s">
        <v>89</v>
      </c>
      <c r="J34" s="15" t="s">
        <v>90</v>
      </c>
      <c r="K34" s="15" t="s">
        <v>62</v>
      </c>
      <c r="L34" s="12"/>
    </row>
    <row r="35" ht="85.5" customHeight="1">
      <c r="A35" s="16" t="s">
        <v>257</v>
      </c>
      <c r="B35" s="17" t="s">
        <v>73</v>
      </c>
      <c r="C35" s="18" t="s">
        <v>258</v>
      </c>
      <c r="D35" s="17" t="s">
        <v>259</v>
      </c>
      <c r="E35" s="17" t="s">
        <v>260</v>
      </c>
      <c r="F35" s="17" t="s">
        <v>261</v>
      </c>
      <c r="G35" s="17" t="s">
        <v>262</v>
      </c>
      <c r="H35" s="17" t="s">
        <v>88</v>
      </c>
      <c r="I35" s="14" t="s">
        <v>89</v>
      </c>
      <c r="J35" s="19" t="s">
        <v>90</v>
      </c>
      <c r="K35" s="19" t="s">
        <v>62</v>
      </c>
      <c r="L35" s="17"/>
    </row>
    <row r="36" ht="85.5" customHeight="1">
      <c r="A36" s="11" t="s">
        <v>263</v>
      </c>
      <c r="B36" s="12" t="s">
        <v>73</v>
      </c>
      <c r="C36" s="13" t="s">
        <v>264</v>
      </c>
      <c r="D36" s="12" t="s">
        <v>259</v>
      </c>
      <c r="E36" s="12" t="s">
        <v>265</v>
      </c>
      <c r="F36" s="12" t="s">
        <v>266</v>
      </c>
      <c r="G36" s="12" t="s">
        <v>267</v>
      </c>
      <c r="H36" s="12" t="s">
        <v>88</v>
      </c>
      <c r="I36" s="14" t="s">
        <v>89</v>
      </c>
      <c r="J36" s="15" t="s">
        <v>90</v>
      </c>
      <c r="K36" s="15" t="s">
        <v>62</v>
      </c>
      <c r="L36" s="12"/>
    </row>
    <row r="37" ht="85.5" customHeight="1">
      <c r="A37" s="16" t="s">
        <v>268</v>
      </c>
      <c r="B37" s="17" t="s">
        <v>73</v>
      </c>
      <c r="C37" s="18" t="s">
        <v>269</v>
      </c>
      <c r="D37" s="17" t="s">
        <v>259</v>
      </c>
      <c r="E37" s="17" t="s">
        <v>270</v>
      </c>
      <c r="F37" s="17" t="s">
        <v>271</v>
      </c>
      <c r="G37" s="17" t="s">
        <v>272</v>
      </c>
      <c r="H37" s="17" t="s">
        <v>88</v>
      </c>
      <c r="I37" s="14" t="s">
        <v>89</v>
      </c>
      <c r="J37" s="19" t="s">
        <v>90</v>
      </c>
      <c r="K37" s="19" t="s">
        <v>62</v>
      </c>
      <c r="L37" s="17"/>
    </row>
    <row r="38" ht="85.5" customHeight="1">
      <c r="A38" s="11" t="s">
        <v>273</v>
      </c>
      <c r="B38" s="12" t="s">
        <v>73</v>
      </c>
      <c r="C38" s="13" t="s">
        <v>274</v>
      </c>
      <c r="D38" s="12" t="s">
        <v>275</v>
      </c>
      <c r="E38" s="12" t="s">
        <v>276</v>
      </c>
      <c r="F38" s="12" t="s">
        <v>277</v>
      </c>
      <c r="G38" s="12" t="s">
        <v>278</v>
      </c>
      <c r="H38" s="12" t="s">
        <v>88</v>
      </c>
      <c r="I38" s="14" t="s">
        <v>89</v>
      </c>
      <c r="J38" s="15" t="s">
        <v>90</v>
      </c>
      <c r="K38" s="15" t="s">
        <v>62</v>
      </c>
      <c r="L38" s="12"/>
    </row>
    <row r="39" ht="85.5" customHeight="1">
      <c r="A39" s="16" t="s">
        <v>279</v>
      </c>
      <c r="B39" s="17" t="s">
        <v>73</v>
      </c>
      <c r="C39" s="18" t="s">
        <v>280</v>
      </c>
      <c r="D39" s="17" t="s">
        <v>281</v>
      </c>
      <c r="E39" s="17" t="s">
        <v>282</v>
      </c>
      <c r="F39" s="17" t="s">
        <v>283</v>
      </c>
      <c r="G39" s="17" t="s">
        <v>284</v>
      </c>
      <c r="H39" s="17" t="s">
        <v>88</v>
      </c>
      <c r="I39" s="14" t="s">
        <v>89</v>
      </c>
      <c r="J39" s="19" t="s">
        <v>129</v>
      </c>
      <c r="K39" s="19" t="s">
        <v>62</v>
      </c>
      <c r="L39" s="17"/>
    </row>
    <row r="40" ht="85.5" customHeight="1">
      <c r="A40" s="11" t="s">
        <v>285</v>
      </c>
      <c r="B40" s="12" t="s">
        <v>73</v>
      </c>
      <c r="C40" s="13" t="s">
        <v>286</v>
      </c>
      <c r="D40" s="12" t="s">
        <v>287</v>
      </c>
      <c r="E40" s="12" t="s">
        <v>288</v>
      </c>
      <c r="F40" s="12" t="s">
        <v>170</v>
      </c>
      <c r="G40" s="12" t="s">
        <v>289</v>
      </c>
      <c r="H40" s="12" t="s">
        <v>88</v>
      </c>
      <c r="I40" s="14" t="s">
        <v>89</v>
      </c>
      <c r="J40" s="15" t="s">
        <v>90</v>
      </c>
      <c r="K40" s="15" t="s">
        <v>62</v>
      </c>
      <c r="L40" s="12"/>
    </row>
    <row r="41" ht="85.5" customHeight="1">
      <c r="A41" s="16" t="s">
        <v>290</v>
      </c>
      <c r="B41" s="17" t="s">
        <v>73</v>
      </c>
      <c r="C41" s="18" t="s">
        <v>291</v>
      </c>
      <c r="D41" s="17" t="s">
        <v>292</v>
      </c>
      <c r="E41" s="17" t="s">
        <v>293</v>
      </c>
      <c r="F41" s="17" t="s">
        <v>294</v>
      </c>
      <c r="G41" s="17" t="s">
        <v>295</v>
      </c>
      <c r="H41" s="17" t="s">
        <v>88</v>
      </c>
      <c r="I41" s="14" t="s">
        <v>89</v>
      </c>
      <c r="J41" s="19" t="s">
        <v>90</v>
      </c>
      <c r="K41" s="19" t="s">
        <v>62</v>
      </c>
      <c r="L41" s="17"/>
    </row>
    <row r="42" ht="85.5" customHeight="1">
      <c r="A42" s="11" t="s">
        <v>296</v>
      </c>
      <c r="B42" s="12" t="s">
        <v>73</v>
      </c>
      <c r="C42" s="13" t="s">
        <v>297</v>
      </c>
      <c r="D42" s="12" t="s">
        <v>298</v>
      </c>
      <c r="E42" s="12" t="s">
        <v>299</v>
      </c>
      <c r="F42" s="12" t="s">
        <v>244</v>
      </c>
      <c r="G42" s="12" t="s">
        <v>300</v>
      </c>
      <c r="H42" s="12" t="s">
        <v>88</v>
      </c>
      <c r="I42" s="14" t="s">
        <v>89</v>
      </c>
      <c r="J42" s="15" t="s">
        <v>129</v>
      </c>
      <c r="K42" s="15" t="s">
        <v>62</v>
      </c>
      <c r="L42" s="12"/>
    </row>
    <row r="43" ht="85.5" customHeight="1">
      <c r="A43" s="16" t="s">
        <v>301</v>
      </c>
      <c r="B43" s="17" t="s">
        <v>73</v>
      </c>
      <c r="C43" s="18" t="s">
        <v>302</v>
      </c>
      <c r="D43" s="17" t="s">
        <v>303</v>
      </c>
      <c r="E43" s="17" t="s">
        <v>304</v>
      </c>
      <c r="F43" s="17" t="s">
        <v>305</v>
      </c>
      <c r="G43" s="17" t="s">
        <v>306</v>
      </c>
      <c r="H43" s="17" t="s">
        <v>88</v>
      </c>
      <c r="I43" s="14" t="s">
        <v>89</v>
      </c>
      <c r="J43" s="19" t="s">
        <v>90</v>
      </c>
      <c r="K43" s="19" t="s">
        <v>62</v>
      </c>
      <c r="L43" s="17"/>
    </row>
    <row r="44" ht="85.5" customHeight="1">
      <c r="A44" s="11" t="s">
        <v>307</v>
      </c>
      <c r="B44" s="12" t="s">
        <v>73</v>
      </c>
      <c r="C44" s="13" t="s">
        <v>308</v>
      </c>
      <c r="D44" s="12" t="s">
        <v>309</v>
      </c>
      <c r="E44" s="12" t="s">
        <v>310</v>
      </c>
      <c r="F44" s="12" t="s">
        <v>311</v>
      </c>
      <c r="G44" s="12" t="s">
        <v>312</v>
      </c>
      <c r="H44" s="12" t="s">
        <v>88</v>
      </c>
      <c r="I44" s="14" t="s">
        <v>89</v>
      </c>
      <c r="J44" s="15" t="s">
        <v>129</v>
      </c>
      <c r="K44" s="15" t="s">
        <v>62</v>
      </c>
      <c r="L44" s="12"/>
    </row>
    <row r="45" ht="85.5" customHeight="1">
      <c r="A45" s="16" t="s">
        <v>313</v>
      </c>
      <c r="B45" s="17" t="s">
        <v>73</v>
      </c>
      <c r="C45" s="18" t="s">
        <v>314</v>
      </c>
      <c r="D45" s="17" t="s">
        <v>315</v>
      </c>
      <c r="E45" s="17" t="s">
        <v>316</v>
      </c>
      <c r="F45" s="17" t="s">
        <v>311</v>
      </c>
      <c r="G45" s="17" t="s">
        <v>317</v>
      </c>
      <c r="H45" s="17" t="s">
        <v>88</v>
      </c>
      <c r="I45" s="14" t="s">
        <v>89</v>
      </c>
      <c r="J45" s="19" t="s">
        <v>129</v>
      </c>
      <c r="K45" s="19" t="s">
        <v>62</v>
      </c>
      <c r="L45" s="17"/>
    </row>
    <row r="46" ht="85.5" customHeight="1">
      <c r="A46" s="11" t="s">
        <v>318</v>
      </c>
      <c r="B46" s="12" t="s">
        <v>73</v>
      </c>
      <c r="C46" s="13" t="s">
        <v>319</v>
      </c>
      <c r="D46" s="12" t="s">
        <v>315</v>
      </c>
      <c r="E46" s="12" t="s">
        <v>320</v>
      </c>
      <c r="F46" s="12" t="s">
        <v>311</v>
      </c>
      <c r="G46" s="12" t="s">
        <v>321</v>
      </c>
      <c r="H46" s="12" t="s">
        <v>88</v>
      </c>
      <c r="I46" s="14" t="s">
        <v>89</v>
      </c>
      <c r="J46" s="15" t="s">
        <v>129</v>
      </c>
      <c r="K46" s="15" t="s">
        <v>62</v>
      </c>
      <c r="L46" s="12"/>
    </row>
    <row r="47" ht="85.5" customHeight="1">
      <c r="A47" s="16" t="s">
        <v>322</v>
      </c>
      <c r="B47" s="17" t="s">
        <v>73</v>
      </c>
      <c r="C47" s="18" t="s">
        <v>323</v>
      </c>
      <c r="D47" s="17" t="s">
        <v>324</v>
      </c>
      <c r="E47" s="17" t="s">
        <v>325</v>
      </c>
      <c r="F47" s="17" t="s">
        <v>311</v>
      </c>
      <c r="G47" s="17" t="s">
        <v>239</v>
      </c>
      <c r="H47" s="17" t="s">
        <v>88</v>
      </c>
      <c r="I47" s="14" t="s">
        <v>89</v>
      </c>
      <c r="J47" s="19" t="s">
        <v>129</v>
      </c>
      <c r="K47" s="19" t="s">
        <v>62</v>
      </c>
      <c r="L47" s="17"/>
    </row>
    <row r="48" ht="85.5" customHeight="1">
      <c r="A48" s="11" t="s">
        <v>326</v>
      </c>
      <c r="B48" s="12" t="s">
        <v>75</v>
      </c>
      <c r="C48" s="13" t="s">
        <v>327</v>
      </c>
      <c r="D48" s="12" t="s">
        <v>328</v>
      </c>
      <c r="E48" s="12" t="s">
        <v>329</v>
      </c>
      <c r="F48" s="12" t="s">
        <v>215</v>
      </c>
      <c r="G48" s="12" t="s">
        <v>330</v>
      </c>
      <c r="H48" s="12" t="s">
        <v>88</v>
      </c>
      <c r="I48" s="14" t="s">
        <v>89</v>
      </c>
      <c r="J48" s="15" t="s">
        <v>129</v>
      </c>
      <c r="K48" s="15" t="s">
        <v>62</v>
      </c>
      <c r="L48" s="12"/>
    </row>
    <row r="49" ht="85.5" customHeight="1">
      <c r="A49" s="16" t="s">
        <v>331</v>
      </c>
      <c r="B49" s="17" t="s">
        <v>75</v>
      </c>
      <c r="C49" s="18" t="s">
        <v>332</v>
      </c>
      <c r="D49" s="17" t="s">
        <v>333</v>
      </c>
      <c r="E49" s="17" t="s">
        <v>334</v>
      </c>
      <c r="F49" s="17" t="s">
        <v>215</v>
      </c>
      <c r="G49" s="17" t="s">
        <v>335</v>
      </c>
      <c r="H49" s="17" t="s">
        <v>88</v>
      </c>
      <c r="I49" s="14" t="s">
        <v>89</v>
      </c>
      <c r="J49" s="19" t="s">
        <v>129</v>
      </c>
      <c r="K49" s="19" t="s">
        <v>62</v>
      </c>
      <c r="L49" s="17"/>
    </row>
    <row r="50" ht="85.5" customHeight="1">
      <c r="A50" s="11" t="s">
        <v>336</v>
      </c>
      <c r="B50" s="12" t="s">
        <v>75</v>
      </c>
      <c r="C50" s="13" t="s">
        <v>337</v>
      </c>
      <c r="D50" s="12" t="s">
        <v>338</v>
      </c>
      <c r="E50" s="12" t="s">
        <v>339</v>
      </c>
      <c r="F50" s="12" t="s">
        <v>215</v>
      </c>
      <c r="G50" s="12" t="s">
        <v>340</v>
      </c>
      <c r="H50" s="12" t="s">
        <v>88</v>
      </c>
      <c r="I50" s="14" t="s">
        <v>89</v>
      </c>
      <c r="J50" s="15" t="s">
        <v>217</v>
      </c>
      <c r="K50" s="15" t="s">
        <v>62</v>
      </c>
      <c r="L50" s="12"/>
    </row>
    <row r="51" ht="85.5" customHeight="1">
      <c r="A51" s="16" t="s">
        <v>341</v>
      </c>
      <c r="B51" s="17" t="s">
        <v>75</v>
      </c>
      <c r="C51" s="18" t="s">
        <v>342</v>
      </c>
      <c r="D51" s="17" t="s">
        <v>343</v>
      </c>
      <c r="E51" s="17" t="s">
        <v>344</v>
      </c>
      <c r="F51" s="17" t="s">
        <v>345</v>
      </c>
      <c r="G51" s="17" t="s">
        <v>346</v>
      </c>
      <c r="H51" s="17" t="s">
        <v>88</v>
      </c>
      <c r="I51" s="14" t="s">
        <v>89</v>
      </c>
      <c r="J51" s="19" t="s">
        <v>90</v>
      </c>
      <c r="K51" s="19" t="s">
        <v>62</v>
      </c>
      <c r="L51" s="17"/>
    </row>
    <row r="52" ht="85.5" customHeight="1">
      <c r="A52" s="11" t="s">
        <v>347</v>
      </c>
      <c r="B52" s="12" t="s">
        <v>75</v>
      </c>
      <c r="C52" s="13" t="s">
        <v>348</v>
      </c>
      <c r="D52" s="12" t="s">
        <v>349</v>
      </c>
      <c r="E52" s="12" t="s">
        <v>350</v>
      </c>
      <c r="F52" s="12" t="s">
        <v>351</v>
      </c>
      <c r="G52" s="12" t="s">
        <v>352</v>
      </c>
      <c r="H52" s="12" t="s">
        <v>88</v>
      </c>
      <c r="I52" s="14" t="s">
        <v>89</v>
      </c>
      <c r="J52" s="15" t="s">
        <v>129</v>
      </c>
      <c r="K52" s="15" t="s">
        <v>62</v>
      </c>
      <c r="L52" s="12"/>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D3249C1-C12B-44A7-BD35-82E05CB53ABD}" filter="1" showAutoFilter="1">
      <autoFilter ref="$A$1:$L$52"/>
      <extLst>
        <ext uri="GoogleSheetsCustomDataVersion1">
          <go:sheetsCustomData xmlns:go="http://customooxmlschemas.google.com/" filterViewId="950083273"/>
        </ext>
      </extLst>
    </customSheetView>
  </customSheetViews>
  <conditionalFormatting sqref="I2:I52">
    <cfRule type="cellIs" dxfId="5" priority="1" operator="equal">
      <formula>"Pass"</formula>
    </cfRule>
  </conditionalFormatting>
  <conditionalFormatting sqref="I2:I52">
    <cfRule type="cellIs" dxfId="6" priority="2" operator="equal">
      <formula>"Fail"</formula>
    </cfRule>
  </conditionalFormatting>
  <conditionalFormatting sqref="I2:I52">
    <cfRule type="cellIs" dxfId="7" priority="3" operator="equal">
      <formula>"Not Run"</formula>
    </cfRule>
  </conditionalFormatting>
  <dataValidations>
    <dataValidation type="list" allowBlank="1" sqref="J2:J52">
      <formula1>"Low,Medium,High,Critical"</formula1>
    </dataValidation>
    <dataValidation type="list" allowBlank="1" sqref="K2:K52">
      <formula1>"Manual,Automated,Planned"</formula1>
    </dataValidation>
    <dataValidation type="list" allowBlank="1" sqref="I2:I52">
      <formula1>"Not Run,Pass,Fail,Blocked,Not Applicable"</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5.0"/>
    <col customWidth="1" min="2" max="2" width="115.0"/>
    <col customWidth="1" min="3" max="26" width="8.71"/>
  </cols>
  <sheetData>
    <row r="1" ht="31.5" customHeight="1">
      <c r="A1" s="1" t="s">
        <v>0</v>
      </c>
      <c r="B1" s="3"/>
      <c r="C1" s="3"/>
      <c r="D1" s="4"/>
    </row>
    <row r="3" ht="42.0" customHeight="1">
      <c r="A3" s="5" t="s">
        <v>6</v>
      </c>
      <c r="B3" s="8" t="s">
        <v>8</v>
      </c>
    </row>
    <row r="4" ht="54.75" customHeight="1">
      <c r="A4" s="5" t="s">
        <v>32</v>
      </c>
      <c r="B4" s="8" t="s">
        <v>34</v>
      </c>
    </row>
    <row r="5" ht="54.75" customHeight="1">
      <c r="A5" s="5" t="s">
        <v>35</v>
      </c>
      <c r="B5" s="8" t="s">
        <v>36</v>
      </c>
    </row>
    <row r="6" ht="54.75" customHeight="1">
      <c r="A6" s="5" t="s">
        <v>37</v>
      </c>
      <c r="B6" s="8" t="s">
        <v>38</v>
      </c>
    </row>
    <row r="7" ht="54.75" customHeight="1">
      <c r="A7" s="5" t="s">
        <v>39</v>
      </c>
      <c r="B7" s="8" t="s">
        <v>40</v>
      </c>
    </row>
    <row r="8" ht="42.0" customHeight="1">
      <c r="A8" s="5" t="s">
        <v>41</v>
      </c>
      <c r="B8" s="8" t="s">
        <v>42</v>
      </c>
    </row>
    <row r="9" ht="54.75" customHeight="1">
      <c r="A9" s="5" t="s">
        <v>43</v>
      </c>
      <c r="B9" s="8" t="s">
        <v>44</v>
      </c>
    </row>
    <row r="10" ht="54.75" customHeight="1">
      <c r="A10" s="5" t="s">
        <v>45</v>
      </c>
      <c r="B10" s="8" t="s">
        <v>46</v>
      </c>
    </row>
    <row r="11" ht="54.75" customHeight="1">
      <c r="A11" s="5" t="s">
        <v>47</v>
      </c>
      <c r="B11" s="8" t="s">
        <v>48</v>
      </c>
    </row>
    <row r="12" ht="42.0" customHeight="1">
      <c r="A12" s="5" t="s">
        <v>49</v>
      </c>
      <c r="B12" s="8" t="s">
        <v>50</v>
      </c>
    </row>
    <row r="13" ht="42.0" customHeight="1">
      <c r="A13" s="5" t="s">
        <v>51</v>
      </c>
      <c r="B13" s="8" t="s">
        <v>52</v>
      </c>
    </row>
    <row r="14">
      <c r="A14" s="5" t="s">
        <v>53</v>
      </c>
      <c r="B14" s="8"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100.0"/>
    <col customWidth="1" min="3" max="26" width="8.71"/>
  </cols>
  <sheetData>
    <row r="1">
      <c r="A1" s="2" t="s">
        <v>2</v>
      </c>
      <c r="B1" s="2" t="s">
        <v>3</v>
      </c>
    </row>
    <row r="2" ht="42.0" customHeight="1">
      <c r="A2" s="5" t="s">
        <v>4</v>
      </c>
      <c r="B2" s="6" t="s">
        <v>7</v>
      </c>
    </row>
    <row r="3" ht="42.0" customHeight="1">
      <c r="A3" s="5" t="s">
        <v>9</v>
      </c>
      <c r="B3" s="6" t="s">
        <v>10</v>
      </c>
    </row>
    <row r="4" ht="42.0" customHeight="1">
      <c r="A4" s="5" t="s">
        <v>11</v>
      </c>
      <c r="B4" s="6" t="s">
        <v>12</v>
      </c>
    </row>
    <row r="5" ht="42.0" customHeight="1">
      <c r="A5" s="5" t="s">
        <v>13</v>
      </c>
      <c r="B5" s="6" t="s">
        <v>14</v>
      </c>
    </row>
    <row r="6" ht="42.0" customHeight="1">
      <c r="A6" s="5" t="s">
        <v>15</v>
      </c>
      <c r="B6" s="6" t="s">
        <v>17</v>
      </c>
    </row>
    <row r="7" ht="42.0" customHeight="1">
      <c r="A7" s="5" t="s">
        <v>18</v>
      </c>
      <c r="B7" s="6" t="s">
        <v>20</v>
      </c>
    </row>
    <row r="8" ht="42.0" customHeight="1">
      <c r="A8" s="5" t="s">
        <v>21</v>
      </c>
      <c r="B8" s="6" t="s">
        <v>22</v>
      </c>
    </row>
    <row r="9" ht="42.0" customHeight="1">
      <c r="A9" s="5" t="s">
        <v>24</v>
      </c>
      <c r="B9" s="6" t="s">
        <v>25</v>
      </c>
    </row>
    <row r="10" ht="42.0" customHeight="1">
      <c r="A10" s="5" t="s">
        <v>26</v>
      </c>
      <c r="B10" s="6" t="s">
        <v>27</v>
      </c>
    </row>
    <row r="11" ht="42.0" customHeight="1">
      <c r="A11" s="5" t="s">
        <v>28</v>
      </c>
      <c r="B11" s="6" t="s">
        <v>29</v>
      </c>
    </row>
    <row r="12" ht="42.0" customHeight="1">
      <c r="A12" s="5" t="s">
        <v>30</v>
      </c>
      <c r="B12" s="6" t="s">
        <v>31</v>
      </c>
    </row>
    <row r="13" ht="42.0" customHeight="1">
      <c r="A13" s="5" t="s">
        <v>19</v>
      </c>
      <c r="B13" s="6"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3"/>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2026-10-12T18:07:48Z</dcterms:created>
  <dc:creator>OpenAI</dc:creator>
</cp:coreProperties>
</file>